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Desktop\"/>
    </mc:Choice>
  </mc:AlternateContent>
  <bookViews>
    <workbookView xWindow="0" yWindow="0" windowWidth="20490" windowHeight="7755" activeTab="1"/>
  </bookViews>
  <sheets>
    <sheet name="Ventas Ferretería" sheetId="1" r:id="rId1"/>
    <sheet name="DOCUMENTACIÓN" sheetId="2" r:id="rId2"/>
  </sheets>
  <definedNames>
    <definedName name="_xlnm._FilterDatabase" localSheetId="0" hidden="1">'Ventas Ferretería'!$A$1:$E$46</definedName>
  </definedNames>
  <calcPr calcId="152511"/>
  <pivotCaches>
    <pivotCache cacheId="0" r:id="rId3"/>
  </pivotCaches>
</workbook>
</file>

<file path=xl/calcChain.xml><?xml version="1.0" encoding="utf-8"?>
<calcChain xmlns="http://schemas.openxmlformats.org/spreadsheetml/2006/main">
  <c r="B33" i="1" l="1"/>
  <c r="H20" i="1"/>
</calcChain>
</file>

<file path=xl/sharedStrings.xml><?xml version="1.0" encoding="utf-8"?>
<sst xmlns="http://schemas.openxmlformats.org/spreadsheetml/2006/main" count="53" uniqueCount="22">
  <si>
    <t>Fecha</t>
  </si>
  <si>
    <t>Martillo</t>
  </si>
  <si>
    <t>Destornillador</t>
  </si>
  <si>
    <t>Taladro</t>
  </si>
  <si>
    <t>Clavos</t>
  </si>
  <si>
    <t>Tornillos</t>
  </si>
  <si>
    <t>Llave inglesa</t>
  </si>
  <si>
    <t>Alicate</t>
  </si>
  <si>
    <t>Cinta métrica</t>
  </si>
  <si>
    <t>Sierra</t>
  </si>
  <si>
    <t>Brocas</t>
  </si>
  <si>
    <t>Precio</t>
  </si>
  <si>
    <t>Producto</t>
  </si>
  <si>
    <t>Etiquetas de fila</t>
  </si>
  <si>
    <t>Total general</t>
  </si>
  <si>
    <t>Suma de Precio</t>
  </si>
  <si>
    <t>total</t>
  </si>
  <si>
    <t>Promedio Ventas</t>
  </si>
  <si>
    <t>Tema elegido: Análisis de venta mensual enero 2026</t>
  </si>
  <si>
    <t xml:space="preserve">Fuentes: Chatgpt , Copilot </t>
  </si>
  <si>
    <t>Conclusiones:</t>
  </si>
  <si>
    <t>Ventas totales del mes: ≈ $7.334.511 COP
Promedio de venta por día: ≈ $236.597 COP
Esto indica un mes con ventas relativamente estables, aunque con algunos días de picos altos.
📈 Día con mayores ventas
Fecha con mayor venta: 14 de enero de 2026
Venta registrada ese día: ≈ $495.032 COP
Ese día representa el mejor desempeño del mes.
🛠 Producto más vendido
Producto más vendido: Martillo
Total vendido: ≈ $1.162.809 COP
El martillo es el producto que más ingresos generó en el período.
📌 Interpretación comercial
Las ventas muestran variaciones normales, con días fuertes a mitad de mes.
Algunos productos impulsan gran parte de las ventas; el martillo destaca.
Conviene mantener buen inventario del producto más vendido y analizar qué promociones o condiciones hicieron fuerte el día 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</si>
</sst>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&quot;$&quot;\ #,##0.00"/>
    <numFmt numFmtId="166" formatCode="&quot;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indent="1"/>
    </xf>
    <xf numFmtId="0" fontId="0" fillId="0" borderId="1" xfId="0" applyBorder="1"/>
    <xf numFmtId="165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65" fontId="0" fillId="0" borderId="1" xfId="0" applyNumberFormat="1" applyBorder="1"/>
    <xf numFmtId="0" fontId="0" fillId="0" borderId="0" xfId="0" applyBorder="1"/>
    <xf numFmtId="14" fontId="0" fillId="4" borderId="1" xfId="0" applyNumberForma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left" vertical="top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[ventas_ferreteria_2026 - copia.xlsx]Ventas Ferretería!Tabla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 mes enero 2026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F79646"/>
          </a:solidFill>
          <a:ln w="25400">
            <a:noFill/>
          </a:ln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Ferretería'!$E$4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'Ventas Ferretería'!$D$5:$D$46</c:f>
              <c:multiLvlStrCache>
                <c:ptCount val="31"/>
                <c:lvl>
                  <c:pt idx="0">
                    <c:v>2026-01-01</c:v>
                  </c:pt>
                  <c:pt idx="1">
                    <c:v>2026-01-11</c:v>
                  </c:pt>
                  <c:pt idx="2">
                    <c:v>2026-01-21</c:v>
                  </c:pt>
                  <c:pt idx="3">
                    <c:v>2026-01-31</c:v>
                  </c:pt>
                  <c:pt idx="4">
                    <c:v>2026-01-04</c:v>
                  </c:pt>
                  <c:pt idx="5">
                    <c:v>2026-01-14</c:v>
                  </c:pt>
                  <c:pt idx="6">
                    <c:v>2026-01-24</c:v>
                  </c:pt>
                  <c:pt idx="7">
                    <c:v>2026-01-02</c:v>
                  </c:pt>
                  <c:pt idx="8">
                    <c:v>2026-01-12</c:v>
                  </c:pt>
                  <c:pt idx="9">
                    <c:v>2026-01-22</c:v>
                  </c:pt>
                  <c:pt idx="10">
                    <c:v>2026-01-08</c:v>
                  </c:pt>
                  <c:pt idx="11">
                    <c:v>2026-01-18</c:v>
                  </c:pt>
                  <c:pt idx="12">
                    <c:v>2026-01-28</c:v>
                  </c:pt>
                  <c:pt idx="13">
                    <c:v>2026-01-06</c:v>
                  </c:pt>
                  <c:pt idx="14">
                    <c:v>2026-01-16</c:v>
                  </c:pt>
                  <c:pt idx="15">
                    <c:v>2026-01-26</c:v>
                  </c:pt>
                  <c:pt idx="16">
                    <c:v>2026-01-10</c:v>
                  </c:pt>
                  <c:pt idx="17">
                    <c:v>2026-01-20</c:v>
                  </c:pt>
                  <c:pt idx="18">
                    <c:v>2026-01-30</c:v>
                  </c:pt>
                  <c:pt idx="19">
                    <c:v>2026-01-05</c:v>
                  </c:pt>
                  <c:pt idx="20">
                    <c:v>2026-01-15</c:v>
                  </c:pt>
                  <c:pt idx="21">
                    <c:v>2026-01-25</c:v>
                  </c:pt>
                  <c:pt idx="22">
                    <c:v>2026-01-03</c:v>
                  </c:pt>
                  <c:pt idx="23">
                    <c:v>2026-01-13</c:v>
                  </c:pt>
                  <c:pt idx="24">
                    <c:v>2026-01-23</c:v>
                  </c:pt>
                  <c:pt idx="25">
                    <c:v>2026-01-07</c:v>
                  </c:pt>
                  <c:pt idx="26">
                    <c:v>2026-01-17</c:v>
                  </c:pt>
                  <c:pt idx="27">
                    <c:v>2026-01-27</c:v>
                  </c:pt>
                  <c:pt idx="28">
                    <c:v>2026-01-09</c:v>
                  </c:pt>
                  <c:pt idx="29">
                    <c:v>2026-01-19</c:v>
                  </c:pt>
                  <c:pt idx="30">
                    <c:v>2026-01-29</c:v>
                  </c:pt>
                </c:lvl>
                <c:lvl>
                  <c:pt idx="0">
                    <c:v>Alicate</c:v>
                  </c:pt>
                  <c:pt idx="4">
                    <c:v>Brocas</c:v>
                  </c:pt>
                  <c:pt idx="7">
                    <c:v>Cinta métrica</c:v>
                  </c:pt>
                  <c:pt idx="10">
                    <c:v>Clavos</c:v>
                  </c:pt>
                  <c:pt idx="13">
                    <c:v>Destornillador</c:v>
                  </c:pt>
                  <c:pt idx="16">
                    <c:v>Llave inglesa</c:v>
                  </c:pt>
                  <c:pt idx="19">
                    <c:v>Martillo</c:v>
                  </c:pt>
                  <c:pt idx="22">
                    <c:v>Sierra</c:v>
                  </c:pt>
                  <c:pt idx="25">
                    <c:v>Taladro</c:v>
                  </c:pt>
                  <c:pt idx="28">
                    <c:v>Tornillos</c:v>
                  </c:pt>
                </c:lvl>
              </c:multiLvlStrCache>
            </c:multiLvlStrRef>
          </c:cat>
          <c:val>
            <c:numRef>
              <c:f>'Ventas Ferretería'!$E$5:$E$46</c:f>
              <c:numCache>
                <c:formatCode>General</c:formatCode>
                <c:ptCount val="31"/>
                <c:pt idx="0">
                  <c:v>141488</c:v>
                </c:pt>
                <c:pt idx="1">
                  <c:v>389735</c:v>
                </c:pt>
                <c:pt idx="2">
                  <c:v>241058</c:v>
                </c:pt>
                <c:pt idx="3">
                  <c:v>197779</c:v>
                </c:pt>
                <c:pt idx="4">
                  <c:v>6368</c:v>
                </c:pt>
                <c:pt idx="5">
                  <c:v>495032</c:v>
                </c:pt>
                <c:pt idx="6">
                  <c:v>270691</c:v>
                </c:pt>
                <c:pt idx="7">
                  <c:v>212698</c:v>
                </c:pt>
                <c:pt idx="8">
                  <c:v>233628</c:v>
                </c:pt>
                <c:pt idx="9">
                  <c:v>56235</c:v>
                </c:pt>
                <c:pt idx="10">
                  <c:v>196929</c:v>
                </c:pt>
                <c:pt idx="11">
                  <c:v>466459</c:v>
                </c:pt>
                <c:pt idx="12">
                  <c:v>402650</c:v>
                </c:pt>
                <c:pt idx="13">
                  <c:v>212101</c:v>
                </c:pt>
                <c:pt idx="14">
                  <c:v>136112</c:v>
                </c:pt>
                <c:pt idx="15">
                  <c:v>71203</c:v>
                </c:pt>
                <c:pt idx="16">
                  <c:v>239040</c:v>
                </c:pt>
                <c:pt idx="17">
                  <c:v>86229</c:v>
                </c:pt>
                <c:pt idx="18">
                  <c:v>273773</c:v>
                </c:pt>
                <c:pt idx="19">
                  <c:v>446947</c:v>
                </c:pt>
                <c:pt idx="20">
                  <c:v>253686</c:v>
                </c:pt>
                <c:pt idx="21">
                  <c:v>462176</c:v>
                </c:pt>
                <c:pt idx="22">
                  <c:v>316649</c:v>
                </c:pt>
                <c:pt idx="23">
                  <c:v>24162</c:v>
                </c:pt>
                <c:pt idx="24">
                  <c:v>176877</c:v>
                </c:pt>
                <c:pt idx="25">
                  <c:v>367761</c:v>
                </c:pt>
                <c:pt idx="26">
                  <c:v>365035</c:v>
                </c:pt>
                <c:pt idx="27">
                  <c:v>312501</c:v>
                </c:pt>
                <c:pt idx="28">
                  <c:v>32386</c:v>
                </c:pt>
                <c:pt idx="29">
                  <c:v>42630</c:v>
                </c:pt>
                <c:pt idx="30">
                  <c:v>204493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278720"/>
        <c:axId val="220281520"/>
      </c:barChart>
      <c:catAx>
        <c:axId val="2202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0281520"/>
        <c:crosses val="autoZero"/>
        <c:auto val="0"/>
        <c:lblAlgn val="ctr"/>
        <c:lblOffset val="100"/>
        <c:noMultiLvlLbl val="0"/>
      </c:catAx>
      <c:valAx>
        <c:axId val="2202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02787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</xdr:row>
      <xdr:rowOff>66675</xdr:rowOff>
    </xdr:from>
    <xdr:to>
      <xdr:col>14</xdr:col>
      <xdr:colOff>466725</xdr:colOff>
      <xdr:row>15</xdr:row>
      <xdr:rowOff>142875</xdr:rowOff>
    </xdr:to>
    <xdr:graphicFrame macro="">
      <xdr:nvGraphicFramePr>
        <xdr:cNvPr id="1070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6064.60953530093" createdVersion="4" refreshedVersion="4" minRefreshableVersion="3" recordCount="31">
  <cacheSource type="worksheet">
    <worksheetSource ref="A1:C32" sheet="Ventas Ferretería"/>
  </cacheSource>
  <cacheFields count="3">
    <cacheField name="Fecha" numFmtId="0">
      <sharedItems containsSemiMixedTypes="0" containsNonDate="0" containsDate="1" containsString="0" minDate="2026-01-01T00:00:00" maxDate="2026-02-01T00:00:00" count="3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</sharedItems>
    </cacheField>
    <cacheField name="Precio" numFmtId="0">
      <sharedItems containsSemiMixedTypes="0" containsString="0" containsNumber="1" containsInteger="1" minValue="6368" maxValue="495032"/>
    </cacheField>
    <cacheField name="Producto" numFmtId="0">
      <sharedItems count="10">
        <s v="Alicate"/>
        <s v="Cinta métrica"/>
        <s v="Sierra"/>
        <s v="Brocas"/>
        <s v="Martillo"/>
        <s v="Destornillador"/>
        <s v="Taladro"/>
        <s v="Clavos"/>
        <s v="Tornillos"/>
        <s v="Llave ingle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n v="141488"/>
    <x v="0"/>
  </r>
  <r>
    <x v="1"/>
    <n v="212698"/>
    <x v="1"/>
  </r>
  <r>
    <x v="2"/>
    <n v="316649"/>
    <x v="2"/>
  </r>
  <r>
    <x v="3"/>
    <n v="6368"/>
    <x v="3"/>
  </r>
  <r>
    <x v="4"/>
    <n v="446947"/>
    <x v="4"/>
  </r>
  <r>
    <x v="5"/>
    <n v="212101"/>
    <x v="5"/>
  </r>
  <r>
    <x v="6"/>
    <n v="367761"/>
    <x v="6"/>
  </r>
  <r>
    <x v="7"/>
    <n v="196929"/>
    <x v="7"/>
  </r>
  <r>
    <x v="8"/>
    <n v="32386"/>
    <x v="8"/>
  </r>
  <r>
    <x v="9"/>
    <n v="239040"/>
    <x v="9"/>
  </r>
  <r>
    <x v="10"/>
    <n v="389735"/>
    <x v="0"/>
  </r>
  <r>
    <x v="11"/>
    <n v="233628"/>
    <x v="1"/>
  </r>
  <r>
    <x v="12"/>
    <n v="24162"/>
    <x v="2"/>
  </r>
  <r>
    <x v="13"/>
    <n v="495032"/>
    <x v="3"/>
  </r>
  <r>
    <x v="14"/>
    <n v="253686"/>
    <x v="4"/>
  </r>
  <r>
    <x v="15"/>
    <n v="136112"/>
    <x v="5"/>
  </r>
  <r>
    <x v="16"/>
    <n v="365035"/>
    <x v="6"/>
  </r>
  <r>
    <x v="17"/>
    <n v="466459"/>
    <x v="7"/>
  </r>
  <r>
    <x v="18"/>
    <n v="42630"/>
    <x v="8"/>
  </r>
  <r>
    <x v="19"/>
    <n v="86229"/>
    <x v="9"/>
  </r>
  <r>
    <x v="20"/>
    <n v="241058"/>
    <x v="0"/>
  </r>
  <r>
    <x v="21"/>
    <n v="56235"/>
    <x v="1"/>
  </r>
  <r>
    <x v="22"/>
    <n v="176877"/>
    <x v="2"/>
  </r>
  <r>
    <x v="23"/>
    <n v="270691"/>
    <x v="3"/>
  </r>
  <r>
    <x v="24"/>
    <n v="462176"/>
    <x v="4"/>
  </r>
  <r>
    <x v="25"/>
    <n v="71203"/>
    <x v="5"/>
  </r>
  <r>
    <x v="26"/>
    <n v="312501"/>
    <x v="6"/>
  </r>
  <r>
    <x v="27"/>
    <n v="402650"/>
    <x v="7"/>
  </r>
  <r>
    <x v="28"/>
    <n v="204493"/>
    <x v="8"/>
  </r>
  <r>
    <x v="29"/>
    <n v="273773"/>
    <x v="9"/>
  </r>
  <r>
    <x v="30"/>
    <n v="19777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D4:E46" firstHeaderRow="1" firstDataRow="1" firstDataCol="1"/>
  <pivotFields count="3">
    <pivotField axis="axisRow" numFmtId="16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numFmtId="166" showAll="0"/>
    <pivotField axis="axisRow" showAll="0">
      <items count="11">
        <item x="0"/>
        <item x="3"/>
        <item x="1"/>
        <item x="7"/>
        <item x="5"/>
        <item x="9"/>
        <item x="4"/>
        <item x="2"/>
        <item x="6"/>
        <item x="8"/>
        <item t="default"/>
      </items>
    </pivotField>
  </pivotFields>
  <rowFields count="2">
    <field x="2"/>
    <field x="0"/>
  </rowFields>
  <rowItems count="42">
    <i>
      <x/>
    </i>
    <i r="1">
      <x/>
    </i>
    <i r="1">
      <x v="10"/>
    </i>
    <i r="1">
      <x v="20"/>
    </i>
    <i r="1">
      <x v="30"/>
    </i>
    <i>
      <x v="1"/>
    </i>
    <i r="1">
      <x v="3"/>
    </i>
    <i r="1">
      <x v="13"/>
    </i>
    <i r="1">
      <x v="23"/>
    </i>
    <i>
      <x v="2"/>
    </i>
    <i r="1">
      <x v="1"/>
    </i>
    <i r="1">
      <x v="11"/>
    </i>
    <i r="1">
      <x v="21"/>
    </i>
    <i>
      <x v="3"/>
    </i>
    <i r="1">
      <x v="7"/>
    </i>
    <i r="1">
      <x v="17"/>
    </i>
    <i r="1">
      <x v="27"/>
    </i>
    <i>
      <x v="4"/>
    </i>
    <i r="1">
      <x v="5"/>
    </i>
    <i r="1">
      <x v="15"/>
    </i>
    <i r="1">
      <x v="25"/>
    </i>
    <i>
      <x v="5"/>
    </i>
    <i r="1">
      <x v="9"/>
    </i>
    <i r="1">
      <x v="19"/>
    </i>
    <i r="1">
      <x v="29"/>
    </i>
    <i>
      <x v="6"/>
    </i>
    <i r="1">
      <x v="4"/>
    </i>
    <i r="1">
      <x v="14"/>
    </i>
    <i r="1">
      <x v="24"/>
    </i>
    <i>
      <x v="7"/>
    </i>
    <i r="1">
      <x v="2"/>
    </i>
    <i r="1">
      <x v="12"/>
    </i>
    <i r="1">
      <x v="22"/>
    </i>
    <i>
      <x v="8"/>
    </i>
    <i r="1">
      <x v="6"/>
    </i>
    <i r="1">
      <x v="16"/>
    </i>
    <i r="1">
      <x v="26"/>
    </i>
    <i>
      <x v="9"/>
    </i>
    <i r="1">
      <x v="8"/>
    </i>
    <i r="1">
      <x v="18"/>
    </i>
    <i r="1">
      <x v="28"/>
    </i>
    <i t="grand">
      <x/>
    </i>
  </rowItems>
  <colItems count="1">
    <i/>
  </colItems>
  <dataFields count="1">
    <dataField name="Suma de Preci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showGridLines="0" zoomScaleNormal="100" workbookViewId="0">
      <selection activeCell="H34" sqref="H34"/>
    </sheetView>
  </sheetViews>
  <sheetFormatPr baseColWidth="10" defaultColWidth="9.140625" defaultRowHeight="15" x14ac:dyDescent="0.25"/>
  <cols>
    <col min="1" max="1" width="16.140625" customWidth="1"/>
    <col min="2" max="2" width="16.7109375" customWidth="1"/>
    <col min="3" max="3" width="22.28515625" customWidth="1"/>
    <col min="4" max="4" width="17.5703125" bestFit="1" customWidth="1"/>
    <col min="5" max="5" width="14.5703125" bestFit="1" customWidth="1"/>
    <col min="7" max="7" width="17.7109375" customWidth="1"/>
    <col min="8" max="8" width="20.5703125" customWidth="1"/>
    <col min="9" max="9" width="17.85546875" customWidth="1"/>
    <col min="10" max="10" width="14" customWidth="1"/>
  </cols>
  <sheetData>
    <row r="1" spans="1:5" x14ac:dyDescent="0.25">
      <c r="A1" s="1" t="s">
        <v>0</v>
      </c>
      <c r="B1" s="1" t="s">
        <v>11</v>
      </c>
      <c r="C1" s="1" t="s">
        <v>12</v>
      </c>
    </row>
    <row r="2" spans="1:5" x14ac:dyDescent="0.25">
      <c r="A2" s="13">
        <v>46023</v>
      </c>
      <c r="B2" s="3">
        <v>141488</v>
      </c>
      <c r="C2" s="2" t="s">
        <v>7</v>
      </c>
    </row>
    <row r="3" spans="1:5" x14ac:dyDescent="0.25">
      <c r="A3" s="13">
        <v>46024</v>
      </c>
      <c r="B3" s="3">
        <v>212698</v>
      </c>
      <c r="C3" s="2" t="s">
        <v>8</v>
      </c>
    </row>
    <row r="4" spans="1:5" x14ac:dyDescent="0.25">
      <c r="A4" s="13">
        <v>46025</v>
      </c>
      <c r="B4" s="3">
        <v>316649</v>
      </c>
      <c r="C4" s="2" t="s">
        <v>9</v>
      </c>
      <c r="D4" s="4" t="s">
        <v>13</v>
      </c>
      <c r="E4" t="s">
        <v>15</v>
      </c>
    </row>
    <row r="5" spans="1:5" x14ac:dyDescent="0.25">
      <c r="A5" s="13">
        <v>46026</v>
      </c>
      <c r="B5" s="3">
        <v>6368</v>
      </c>
      <c r="C5" s="2" t="s">
        <v>10</v>
      </c>
      <c r="D5" s="6" t="s">
        <v>7</v>
      </c>
      <c r="E5" s="5">
        <v>970060</v>
      </c>
    </row>
    <row r="6" spans="1:5" x14ac:dyDescent="0.25">
      <c r="A6" s="13">
        <v>46027</v>
      </c>
      <c r="B6" s="3">
        <v>446947</v>
      </c>
      <c r="C6" s="2" t="s">
        <v>1</v>
      </c>
      <c r="D6" s="7">
        <v>46023</v>
      </c>
      <c r="E6" s="5">
        <v>141488</v>
      </c>
    </row>
    <row r="7" spans="1:5" x14ac:dyDescent="0.25">
      <c r="A7" s="13">
        <v>46028</v>
      </c>
      <c r="B7" s="3">
        <v>212101</v>
      </c>
      <c r="C7" s="2" t="s">
        <v>2</v>
      </c>
      <c r="D7" s="7">
        <v>46033</v>
      </c>
      <c r="E7" s="5">
        <v>389735</v>
      </c>
    </row>
    <row r="8" spans="1:5" x14ac:dyDescent="0.25">
      <c r="A8" s="13">
        <v>46029</v>
      </c>
      <c r="B8" s="3">
        <v>367761</v>
      </c>
      <c r="C8" s="2" t="s">
        <v>3</v>
      </c>
      <c r="D8" s="7">
        <v>46043</v>
      </c>
      <c r="E8" s="5">
        <v>241058</v>
      </c>
    </row>
    <row r="9" spans="1:5" x14ac:dyDescent="0.25">
      <c r="A9" s="13">
        <v>46030</v>
      </c>
      <c r="B9" s="3">
        <v>196929</v>
      </c>
      <c r="C9" s="2" t="s">
        <v>4</v>
      </c>
      <c r="D9" s="7">
        <v>46053</v>
      </c>
      <c r="E9" s="5">
        <v>197779</v>
      </c>
    </row>
    <row r="10" spans="1:5" x14ac:dyDescent="0.25">
      <c r="A10" s="13">
        <v>46031</v>
      </c>
      <c r="B10" s="3">
        <v>32386</v>
      </c>
      <c r="C10" s="2" t="s">
        <v>5</v>
      </c>
      <c r="D10" s="6" t="s">
        <v>10</v>
      </c>
      <c r="E10" s="5">
        <v>772091</v>
      </c>
    </row>
    <row r="11" spans="1:5" x14ac:dyDescent="0.25">
      <c r="A11" s="13">
        <v>46032</v>
      </c>
      <c r="B11" s="3">
        <v>239040</v>
      </c>
      <c r="C11" s="2" t="s">
        <v>6</v>
      </c>
      <c r="D11" s="7">
        <v>46026</v>
      </c>
      <c r="E11" s="5">
        <v>6368</v>
      </c>
    </row>
    <row r="12" spans="1:5" x14ac:dyDescent="0.25">
      <c r="A12" s="13">
        <v>46033</v>
      </c>
      <c r="B12" s="3">
        <v>389735</v>
      </c>
      <c r="C12" s="2" t="s">
        <v>7</v>
      </c>
      <c r="D12" s="7">
        <v>46036</v>
      </c>
      <c r="E12" s="5">
        <v>495032</v>
      </c>
    </row>
    <row r="13" spans="1:5" x14ac:dyDescent="0.25">
      <c r="A13" s="13">
        <v>46034</v>
      </c>
      <c r="B13" s="3">
        <v>233628</v>
      </c>
      <c r="C13" s="2" t="s">
        <v>8</v>
      </c>
      <c r="D13" s="7">
        <v>46046</v>
      </c>
      <c r="E13" s="5">
        <v>270691</v>
      </c>
    </row>
    <row r="14" spans="1:5" x14ac:dyDescent="0.25">
      <c r="A14" s="13">
        <v>46035</v>
      </c>
      <c r="B14" s="3">
        <v>24162</v>
      </c>
      <c r="C14" s="2" t="s">
        <v>9</v>
      </c>
      <c r="D14" s="6" t="s">
        <v>8</v>
      </c>
      <c r="E14" s="5">
        <v>502561</v>
      </c>
    </row>
    <row r="15" spans="1:5" x14ac:dyDescent="0.25">
      <c r="A15" s="13">
        <v>46036</v>
      </c>
      <c r="B15" s="3">
        <v>495032</v>
      </c>
      <c r="C15" s="2" t="s">
        <v>10</v>
      </c>
      <c r="D15" s="7">
        <v>46024</v>
      </c>
      <c r="E15" s="5">
        <v>212698</v>
      </c>
    </row>
    <row r="16" spans="1:5" x14ac:dyDescent="0.25">
      <c r="A16" s="13">
        <v>46037</v>
      </c>
      <c r="B16" s="3">
        <v>253686</v>
      </c>
      <c r="C16" s="2" t="s">
        <v>1</v>
      </c>
      <c r="D16" s="7">
        <v>46034</v>
      </c>
      <c r="E16" s="5">
        <v>233628</v>
      </c>
    </row>
    <row r="17" spans="1:8" x14ac:dyDescent="0.25">
      <c r="A17" s="13">
        <v>46038</v>
      </c>
      <c r="B17" s="3">
        <v>136112</v>
      </c>
      <c r="C17" s="2" t="s">
        <v>2</v>
      </c>
      <c r="D17" s="7">
        <v>46044</v>
      </c>
      <c r="E17" s="5">
        <v>56235</v>
      </c>
    </row>
    <row r="18" spans="1:8" x14ac:dyDescent="0.25">
      <c r="A18" s="13">
        <v>46039</v>
      </c>
      <c r="B18" s="3">
        <v>365035</v>
      </c>
      <c r="C18" s="2" t="s">
        <v>3</v>
      </c>
      <c r="D18" s="6" t="s">
        <v>4</v>
      </c>
      <c r="E18" s="5">
        <v>1066038</v>
      </c>
    </row>
    <row r="19" spans="1:8" x14ac:dyDescent="0.25">
      <c r="A19" s="13">
        <v>46040</v>
      </c>
      <c r="B19" s="3">
        <v>466459</v>
      </c>
      <c r="C19" s="2" t="s">
        <v>4</v>
      </c>
      <c r="D19" s="7">
        <v>46030</v>
      </c>
      <c r="E19" s="5">
        <v>196929</v>
      </c>
    </row>
    <row r="20" spans="1:8" x14ac:dyDescent="0.25">
      <c r="A20" s="13">
        <v>46041</v>
      </c>
      <c r="B20" s="3">
        <v>42630</v>
      </c>
      <c r="C20" s="2" t="s">
        <v>5</v>
      </c>
      <c r="D20" s="7">
        <v>46040</v>
      </c>
      <c r="E20" s="5">
        <v>466459</v>
      </c>
      <c r="G20" s="10" t="s">
        <v>17</v>
      </c>
      <c r="H20" s="11">
        <f>AVERAGE(B2:B32)</f>
        <v>236597.12903225806</v>
      </c>
    </row>
    <row r="21" spans="1:8" x14ac:dyDescent="0.25">
      <c r="A21" s="13">
        <v>46042</v>
      </c>
      <c r="B21" s="3">
        <v>86229</v>
      </c>
      <c r="C21" s="2" t="s">
        <v>6</v>
      </c>
      <c r="D21" s="7">
        <v>46050</v>
      </c>
      <c r="E21" s="5">
        <v>402650</v>
      </c>
    </row>
    <row r="22" spans="1:8" x14ac:dyDescent="0.25">
      <c r="A22" s="13">
        <v>46043</v>
      </c>
      <c r="B22" s="3">
        <v>241058</v>
      </c>
      <c r="C22" s="2" t="s">
        <v>7</v>
      </c>
      <c r="D22" s="6" t="s">
        <v>2</v>
      </c>
      <c r="E22" s="5">
        <v>419416</v>
      </c>
      <c r="G22" s="12"/>
      <c r="H22" s="15"/>
    </row>
    <row r="23" spans="1:8" x14ac:dyDescent="0.25">
      <c r="A23" s="13">
        <v>46044</v>
      </c>
      <c r="B23" s="3">
        <v>56235</v>
      </c>
      <c r="C23" s="2" t="s">
        <v>8</v>
      </c>
      <c r="D23" s="7">
        <v>46028</v>
      </c>
      <c r="E23" s="5">
        <v>212101</v>
      </c>
    </row>
    <row r="24" spans="1:8" x14ac:dyDescent="0.25">
      <c r="A24" s="13">
        <v>46045</v>
      </c>
      <c r="B24" s="3">
        <v>176877</v>
      </c>
      <c r="C24" s="2" t="s">
        <v>9</v>
      </c>
      <c r="D24" s="7">
        <v>46038</v>
      </c>
      <c r="E24" s="5">
        <v>136112</v>
      </c>
    </row>
    <row r="25" spans="1:8" x14ac:dyDescent="0.25">
      <c r="A25" s="13">
        <v>46046</v>
      </c>
      <c r="B25" s="3">
        <v>270691</v>
      </c>
      <c r="C25" s="2" t="s">
        <v>10</v>
      </c>
      <c r="D25" s="7">
        <v>46048</v>
      </c>
      <c r="E25" s="5">
        <v>71203</v>
      </c>
    </row>
    <row r="26" spans="1:8" x14ac:dyDescent="0.25">
      <c r="A26" s="13">
        <v>46047</v>
      </c>
      <c r="B26" s="3">
        <v>462176</v>
      </c>
      <c r="C26" s="2" t="s">
        <v>1</v>
      </c>
      <c r="D26" s="6" t="s">
        <v>6</v>
      </c>
      <c r="E26" s="5">
        <v>599042</v>
      </c>
    </row>
    <row r="27" spans="1:8" x14ac:dyDescent="0.25">
      <c r="A27" s="13">
        <v>46048</v>
      </c>
      <c r="B27" s="3">
        <v>71203</v>
      </c>
      <c r="C27" s="2" t="s">
        <v>2</v>
      </c>
      <c r="D27" s="7">
        <v>46032</v>
      </c>
      <c r="E27" s="5">
        <v>239040</v>
      </c>
    </row>
    <row r="28" spans="1:8" x14ac:dyDescent="0.25">
      <c r="A28" s="13">
        <v>46049</v>
      </c>
      <c r="B28" s="3">
        <v>312501</v>
      </c>
      <c r="C28" s="2" t="s">
        <v>3</v>
      </c>
      <c r="D28" s="7">
        <v>46042</v>
      </c>
      <c r="E28" s="5">
        <v>86229</v>
      </c>
    </row>
    <row r="29" spans="1:8" x14ac:dyDescent="0.25">
      <c r="A29" s="13">
        <v>46050</v>
      </c>
      <c r="B29" s="3">
        <v>402650</v>
      </c>
      <c r="C29" s="2" t="s">
        <v>4</v>
      </c>
      <c r="D29" s="7">
        <v>46052</v>
      </c>
      <c r="E29" s="5">
        <v>273773</v>
      </c>
    </row>
    <row r="30" spans="1:8" x14ac:dyDescent="0.25">
      <c r="A30" s="13">
        <v>46051</v>
      </c>
      <c r="B30" s="3">
        <v>204493</v>
      </c>
      <c r="C30" s="2" t="s">
        <v>5</v>
      </c>
      <c r="D30" s="6" t="s">
        <v>1</v>
      </c>
      <c r="E30" s="5">
        <v>1162809</v>
      </c>
    </row>
    <row r="31" spans="1:8" x14ac:dyDescent="0.25">
      <c r="A31" s="13">
        <v>46052</v>
      </c>
      <c r="B31" s="3">
        <v>273773</v>
      </c>
      <c r="C31" s="2" t="s">
        <v>6</v>
      </c>
      <c r="D31" s="7">
        <v>46027</v>
      </c>
      <c r="E31" s="5">
        <v>446947</v>
      </c>
    </row>
    <row r="32" spans="1:8" x14ac:dyDescent="0.25">
      <c r="A32" s="13">
        <v>46053</v>
      </c>
      <c r="B32" s="3">
        <v>197779</v>
      </c>
      <c r="C32" s="2" t="s">
        <v>7</v>
      </c>
      <c r="D32" s="7">
        <v>46037</v>
      </c>
      <c r="E32" s="5">
        <v>253686</v>
      </c>
    </row>
    <row r="33" spans="1:5" ht="15.75" x14ac:dyDescent="0.25">
      <c r="A33" s="14" t="s">
        <v>16</v>
      </c>
      <c r="B33" s="9">
        <f>SUMIFS(B2:B32, A2:A32, "&gt;=01/01/2026", A2:A32, "&lt;=31/01/2026")</f>
        <v>7334511</v>
      </c>
      <c r="C33" s="8"/>
      <c r="D33" s="7">
        <v>46047</v>
      </c>
      <c r="E33" s="5">
        <v>462176</v>
      </c>
    </row>
    <row r="34" spans="1:5" x14ac:dyDescent="0.25">
      <c r="D34" s="6" t="s">
        <v>9</v>
      </c>
      <c r="E34" s="5">
        <v>517688</v>
      </c>
    </row>
    <row r="35" spans="1:5" x14ac:dyDescent="0.25">
      <c r="D35" s="7">
        <v>46025</v>
      </c>
      <c r="E35" s="5">
        <v>316649</v>
      </c>
    </row>
    <row r="36" spans="1:5" x14ac:dyDescent="0.25">
      <c r="D36" s="7">
        <v>46035</v>
      </c>
      <c r="E36" s="5">
        <v>24162</v>
      </c>
    </row>
    <row r="37" spans="1:5" x14ac:dyDescent="0.25">
      <c r="D37" s="7">
        <v>46045</v>
      </c>
      <c r="E37" s="5">
        <v>176877</v>
      </c>
    </row>
    <row r="38" spans="1:5" x14ac:dyDescent="0.25">
      <c r="D38" s="6" t="s">
        <v>3</v>
      </c>
      <c r="E38" s="5">
        <v>1045297</v>
      </c>
    </row>
    <row r="39" spans="1:5" x14ac:dyDescent="0.25">
      <c r="D39" s="7">
        <v>46029</v>
      </c>
      <c r="E39" s="5">
        <v>367761</v>
      </c>
    </row>
    <row r="40" spans="1:5" x14ac:dyDescent="0.25">
      <c r="D40" s="7">
        <v>46039</v>
      </c>
      <c r="E40" s="5">
        <v>365035</v>
      </c>
    </row>
    <row r="41" spans="1:5" x14ac:dyDescent="0.25">
      <c r="D41" s="7">
        <v>46049</v>
      </c>
      <c r="E41" s="5">
        <v>312501</v>
      </c>
    </row>
    <row r="42" spans="1:5" x14ac:dyDescent="0.25">
      <c r="D42" s="6" t="s">
        <v>5</v>
      </c>
      <c r="E42" s="5">
        <v>279509</v>
      </c>
    </row>
    <row r="43" spans="1:5" x14ac:dyDescent="0.25">
      <c r="D43" s="7">
        <v>46031</v>
      </c>
      <c r="E43" s="5">
        <v>32386</v>
      </c>
    </row>
    <row r="44" spans="1:5" x14ac:dyDescent="0.25">
      <c r="D44" s="7">
        <v>46041</v>
      </c>
      <c r="E44" s="5">
        <v>42630</v>
      </c>
    </row>
    <row r="45" spans="1:5" x14ac:dyDescent="0.25">
      <c r="D45" s="7">
        <v>46051</v>
      </c>
      <c r="E45" s="5">
        <v>204493</v>
      </c>
    </row>
    <row r="46" spans="1:5" x14ac:dyDescent="0.25">
      <c r="D46" s="6" t="s">
        <v>14</v>
      </c>
      <c r="E46" s="5">
        <v>7334511</v>
      </c>
    </row>
  </sheetData>
  <autoFilter ref="A1:E46"/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A32" workbookViewId="0">
      <selection activeCell="K44" sqref="K44"/>
    </sheetView>
  </sheetViews>
  <sheetFormatPr baseColWidth="10" defaultRowHeight="15" x14ac:dyDescent="0.25"/>
  <sheetData>
    <row r="1" spans="1:14" ht="15.75" x14ac:dyDescent="0.25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5">
      <c r="A2" s="19" t="s">
        <v>19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7" t="s">
        <v>20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15" customHeight="1" x14ac:dyDescent="0.25">
      <c r="A4" s="18" t="s">
        <v>21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2.2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ht="15" hidden="1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ht="15" hidden="1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4" ht="15" hidden="1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15" hidden="1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4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25.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</sheetData>
  <mergeCells count="4">
    <mergeCell ref="A4:N39"/>
    <mergeCell ref="A3:N3"/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Ferretería</vt:lpstr>
      <vt:lpstr>DOCUMENTACIÓN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2026-02-11T19:32:18Z</dcterms:created>
  <dcterms:modified xsi:type="dcterms:W3CDTF">2026-02-11T21:09:49Z</dcterms:modified>
</cp:coreProperties>
</file>